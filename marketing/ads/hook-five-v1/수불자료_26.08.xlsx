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2e9ddf3cf439062/바탕 화면/해뜰종합식품 프로젝트/"/>
    </mc:Choice>
  </mc:AlternateContent>
  <xr:revisionPtr revIDLastSave="2" documentId="11_E0BC4F1D81A458550FB2FB0E499F1AE80EDC3C86" xr6:coauthVersionLast="47" xr6:coauthVersionMax="47" xr10:uidLastSave="{190EAA17-4A59-4290-AAD7-45E7CB00E22F}"/>
  <bookViews>
    <workbookView xWindow="-110" yWindow="-110" windowWidth="19420" windowHeight="11500" tabRatio="500" activeTab="2" xr2:uid="{00000000-000D-0000-FFFF-FFFF00000000}"/>
  </bookViews>
  <sheets>
    <sheet name="포기김치" sheetId="1" r:id="rId1"/>
    <sheet name="맛김치" sheetId="2" r:id="rId2"/>
    <sheet name="업로드_템플릿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4" i="2"/>
  <c r="D18" i="2"/>
  <c r="D1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4" i="3"/>
  <c r="D22" i="3" s="1"/>
</calcChain>
</file>

<file path=xl/sharedStrings.xml><?xml version="1.0" encoding="utf-8"?>
<sst xmlns="http://schemas.openxmlformats.org/spreadsheetml/2006/main" count="66" uniqueCount="25">
  <si>
    <t>품명</t>
  </si>
  <si>
    <r>
      <rPr>
        <b/>
        <sz val="11"/>
        <color rgb="FFFFFFFF"/>
        <rFont val="Noto Sans CJK SC"/>
        <family val="2"/>
      </rPr>
      <t>수량</t>
    </r>
    <r>
      <rPr>
        <b/>
        <sz val="11"/>
        <color rgb="FFFFFFFF"/>
        <rFont val="맑은 고딕"/>
        <family val="3"/>
        <charset val="129"/>
      </rPr>
      <t>(kg)</t>
    </r>
  </si>
  <si>
    <r>
      <rPr>
        <b/>
        <sz val="11"/>
        <color rgb="FFFFFFFF"/>
        <rFont val="Noto Sans CJK SC"/>
        <family val="2"/>
      </rPr>
      <t>단가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원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</si>
  <si>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Noto Sans CJK SC"/>
        <family val="2"/>
      </rPr>
      <t>금액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원</t>
    </r>
    <r>
      <rPr>
        <b/>
        <sz val="11"/>
        <color rgb="FFFFFFFF"/>
        <rFont val="맑은 고딕"/>
        <family val="3"/>
        <charset val="129"/>
      </rPr>
      <t>)</t>
    </r>
  </si>
  <si>
    <t>배추</t>
  </si>
  <si>
    <t>무</t>
  </si>
  <si>
    <r>
      <rPr>
        <sz val="11"/>
        <rFont val="Noto Sans CJK SC"/>
        <family val="2"/>
      </rPr>
      <t>고춧가루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국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</si>
  <si>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고춧가루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수</t>
    </r>
    <r>
      <rPr>
        <sz val="11"/>
        <rFont val="맑은 고딕"/>
        <family val="3"/>
        <charset val="129"/>
      </rPr>
      <t>)</t>
    </r>
  </si>
  <si>
    <t>마늘</t>
  </si>
  <si>
    <t>생강</t>
  </si>
  <si>
    <t>멸치액젓</t>
  </si>
  <si>
    <t>대파</t>
  </si>
  <si>
    <t>조미료</t>
  </si>
  <si>
    <t>설탕</t>
  </si>
  <si>
    <t>물엿</t>
  </si>
  <si>
    <t>찹쌀미</t>
  </si>
  <si>
    <t>매실액기스</t>
  </si>
  <si>
    <t>천일염</t>
  </si>
  <si>
    <t>합계</t>
  </si>
  <si>
    <t>품명 작성</t>
  </si>
  <si>
    <r>
      <rPr>
        <i/>
        <sz val="9"/>
        <color rgb="FF666666"/>
        <rFont val="Noto Sans CJK SC"/>
        <family val="2"/>
      </rPr>
      <t>※ 첫 줄</t>
    </r>
    <r>
      <rPr>
        <i/>
        <sz val="9"/>
        <color rgb="FF666666"/>
        <rFont val="맑은 고딕"/>
        <family val="3"/>
        <charset val="129"/>
      </rPr>
      <t>(</t>
    </r>
    <r>
      <rPr>
        <i/>
        <sz val="9"/>
        <color rgb="FF666666"/>
        <rFont val="Noto Sans CJK SC"/>
        <family val="2"/>
      </rPr>
      <t>배추</t>
    </r>
    <r>
      <rPr>
        <i/>
        <sz val="9"/>
        <color rgb="FF666666"/>
        <rFont val="맑은 고딕"/>
        <family val="3"/>
        <charset val="129"/>
      </rPr>
      <t>)</t>
    </r>
    <r>
      <rPr>
        <i/>
        <sz val="9"/>
        <color rgb="FF666666"/>
        <rFont val="Noto Sans CJK SC"/>
        <family val="2"/>
      </rPr>
      <t>의 수량</t>
    </r>
    <r>
      <rPr>
        <i/>
        <sz val="9"/>
        <color rgb="FF666666"/>
        <rFont val="맑은 고딕"/>
        <family val="3"/>
        <charset val="129"/>
      </rPr>
      <t>·</t>
    </r>
    <r>
      <rPr>
        <i/>
        <sz val="9"/>
        <color rgb="FF666666"/>
        <rFont val="Noto Sans CJK SC"/>
        <family val="2"/>
      </rPr>
      <t>단가는 작성 예시입니다</t>
    </r>
    <r>
      <rPr>
        <i/>
        <sz val="9"/>
        <color rgb="FF666666"/>
        <rFont val="맑은 고딕"/>
        <family val="3"/>
        <charset val="129"/>
      </rPr>
      <t xml:space="preserve">. </t>
    </r>
    <r>
      <rPr>
        <i/>
        <sz val="9"/>
        <color rgb="FF666666"/>
        <rFont val="Noto Sans CJK SC"/>
        <family val="2"/>
      </rPr>
      <t>안 쓰는 재료는 수량</t>
    </r>
    <r>
      <rPr>
        <i/>
        <sz val="9"/>
        <color rgb="FF666666"/>
        <rFont val="맑은 고딕"/>
        <family val="3"/>
        <charset val="129"/>
      </rPr>
      <t>·</t>
    </r>
    <r>
      <rPr>
        <i/>
        <sz val="9"/>
        <color rgb="FF666666"/>
        <rFont val="Noto Sans CJK SC"/>
        <family val="2"/>
      </rPr>
      <t>단가를 비워두면 금액에 잡히지 않고</t>
    </r>
    <r>
      <rPr>
        <i/>
        <sz val="9"/>
        <color rgb="FF666666"/>
        <rFont val="맑은 고딕"/>
        <family val="3"/>
        <charset val="129"/>
      </rPr>
      <t xml:space="preserve">, </t>
    </r>
    <r>
      <rPr>
        <i/>
        <sz val="9"/>
        <color rgb="FF666666"/>
        <rFont val="Noto Sans CJK SC"/>
        <family val="2"/>
      </rPr>
      <t xml:space="preserve">마지막 </t>
    </r>
    <r>
      <rPr>
        <i/>
        <sz val="9"/>
        <color rgb="FF666666"/>
        <rFont val="맑은 고딕"/>
        <family val="3"/>
        <charset val="129"/>
      </rPr>
      <t>4</t>
    </r>
    <r>
      <rPr>
        <i/>
        <sz val="9"/>
        <color rgb="FF666666"/>
        <rFont val="Noto Sans CJK SC"/>
        <family val="2"/>
      </rPr>
      <t>줄은 새 재료 추가용입니다</t>
    </r>
    <r>
      <rPr>
        <i/>
        <sz val="9"/>
        <color rgb="FF666666"/>
        <rFont val="맑은 고딕"/>
        <family val="3"/>
        <charset val="129"/>
      </rPr>
      <t>.</t>
    </r>
  </si>
  <si>
    <t>포기김치</t>
    <phoneticPr fontId="11" type="noConversion"/>
  </si>
  <si>
    <r>
      <rPr>
        <b/>
        <sz val="14"/>
        <rFont val="맑은 고딕"/>
        <family val="3"/>
        <charset val="129"/>
      </rPr>
      <t>맛김치</t>
    </r>
    <r>
      <rPr>
        <b/>
        <sz val="14"/>
        <rFont val="Arial"/>
        <family val="2"/>
      </rPr>
      <t xml:space="preserve"> </t>
    </r>
    <phoneticPr fontId="11" type="noConversion"/>
  </si>
  <si>
    <r>
      <rPr>
        <b/>
        <sz val="14"/>
        <rFont val="맑은 고딕"/>
        <family val="3"/>
        <charset val="129"/>
      </rPr>
      <t>업로드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템플릿</t>
    </r>
    <r>
      <rPr>
        <b/>
        <sz val="14"/>
        <rFont val="Arial"/>
        <family val="2"/>
      </rPr>
      <t xml:space="preserve"> (</t>
    </r>
    <r>
      <rPr>
        <b/>
        <sz val="14"/>
        <rFont val="맑은 고딕"/>
        <family val="3"/>
        <charset val="129"/>
      </rPr>
      <t>월간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원재료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투입내역)</t>
    </r>
    <phoneticPr fontId="11" type="noConversion"/>
  </si>
  <si>
    <r>
      <t xml:space="preserve">← </t>
    </r>
    <r>
      <rPr>
        <i/>
        <sz val="9"/>
        <color rgb="FF666666"/>
        <rFont val="맑은 고딕"/>
        <family val="3"/>
        <charset val="129"/>
      </rPr>
      <t>작성</t>
    </r>
    <r>
      <rPr>
        <i/>
        <sz val="9"/>
        <color rgb="FF666666"/>
        <rFont val="Arial"/>
        <family val="2"/>
      </rPr>
      <t xml:space="preserve"> </t>
    </r>
    <r>
      <rPr>
        <i/>
        <sz val="9"/>
        <color rgb="FF666666"/>
        <rFont val="맑은 고딕"/>
        <family val="3"/>
        <charset val="129"/>
      </rPr>
      <t>예시입니다. 지우고</t>
    </r>
    <r>
      <rPr>
        <i/>
        <sz val="9"/>
        <color rgb="FF666666"/>
        <rFont val="Arial"/>
        <family val="2"/>
      </rPr>
      <t xml:space="preserve"> </t>
    </r>
    <r>
      <rPr>
        <i/>
        <sz val="9"/>
        <color rgb="FF666666"/>
        <rFont val="맑은 고딕"/>
        <family val="3"/>
        <charset val="129"/>
      </rPr>
      <t>입력하세요.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</si>
</sst>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7">
    <font>
      <sz val="11"/>
      <color theme="1"/>
      <name val="Calibri"/>
      <family val="2"/>
      <charset val="1"/>
    </font>
    <font>
      <i/>
      <sz val="9"/>
      <color rgb="FF666666"/>
      <name val="Noto Sans CJK SC"/>
      <family val="2"/>
    </font>
    <font>
      <i/>
      <sz val="9"/>
      <color rgb="FF666666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11"/>
      <name val="Noto Sans CJK SC"/>
      <family val="2"/>
    </font>
    <font>
      <sz val="11"/>
      <name val="맑은 고딕"/>
      <family val="3"/>
      <charset val="129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sz val="11"/>
      <color rgb="FF808080"/>
      <name val="Noto Sans CJK SC"/>
      <family val="2"/>
    </font>
    <font>
      <sz val="8"/>
      <name val="돋움"/>
      <family val="3"/>
      <charset val="129"/>
    </font>
    <font>
      <i/>
      <sz val="9"/>
      <color rgb="FF666666"/>
      <name val="Arial"/>
      <family val="2"/>
    </font>
    <font>
      <b/>
      <sz val="14"/>
      <name val="맑은 고딕"/>
      <family val="3"/>
      <charset val="129"/>
    </font>
    <font>
      <b/>
      <sz val="14"/>
      <name val="Arial"/>
      <family val="2"/>
    </font>
    <font>
      <b/>
      <sz val="14"/>
      <name val="Noto Sans CJK SC"/>
      <family val="3"/>
      <charset val="129"/>
    </font>
    <font>
      <i/>
      <sz val="9"/>
      <color rgb="FF666666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76" fontId="6" fillId="0" borderId="1" xfId="0" applyNumberFormat="1" applyFont="1" applyBorder="1"/>
    <xf numFmtId="4" fontId="6" fillId="0" borderId="1" xfId="0" applyNumberFormat="1" applyFont="1" applyBorder="1"/>
    <xf numFmtId="3" fontId="6" fillId="0" borderId="1" xfId="0" applyNumberFormat="1" applyFont="1" applyBorder="1"/>
    <xf numFmtId="0" fontId="7" fillId="3" borderId="1" xfId="0" applyFont="1" applyFill="1" applyBorder="1"/>
    <xf numFmtId="0" fontId="0" fillId="3" borderId="1" xfId="0" applyFill="1" applyBorder="1"/>
    <xf numFmtId="3" fontId="8" fillId="3" borderId="1" xfId="0" applyNumberFormat="1" applyFont="1" applyFill="1" applyBorder="1"/>
    <xf numFmtId="176" fontId="9" fillId="0" borderId="1" xfId="0" applyNumberFormat="1" applyFont="1" applyBorder="1"/>
    <xf numFmtId="4" fontId="9" fillId="0" borderId="1" xfId="0" applyNumberFormat="1" applyFont="1" applyBorder="1"/>
    <xf numFmtId="3" fontId="9" fillId="0" borderId="1" xfId="0" applyNumberFormat="1" applyFont="1" applyBorder="1"/>
    <xf numFmtId="0" fontId="10" fillId="0" borderId="1" xfId="0" applyFont="1" applyBorder="1"/>
    <xf numFmtId="0" fontId="13" fillId="0" borderId="0" xfId="0" applyFont="1"/>
    <xf numFmtId="0" fontId="15" fillId="0" borderId="0" xfId="0" applyFont="1"/>
    <xf numFmtId="0" fontId="1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Normal="100" workbookViewId="0">
      <pane ySplit="4" topLeftCell="A5" activePane="bottomLeft" state="frozen"/>
      <selection pane="bottomLeft" activeCell="D7" sqref="D7"/>
    </sheetView>
  </sheetViews>
  <sheetFormatPr defaultColWidth="8.6328125" defaultRowHeight="14.5"/>
  <cols>
    <col min="1" max="1" width="18" customWidth="1"/>
    <col min="2" max="3" width="14" customWidth="1"/>
    <col min="4" max="4" width="18" customWidth="1"/>
    <col min="5" max="5" width="30" customWidth="1"/>
  </cols>
  <sheetData>
    <row r="1" spans="1:4" ht="21">
      <c r="A1" s="14" t="s">
        <v>21</v>
      </c>
    </row>
    <row r="2" spans="1:4">
      <c r="A2" s="1"/>
    </row>
    <row r="3" spans="1:4" ht="17">
      <c r="A3" s="2" t="s">
        <v>0</v>
      </c>
      <c r="B3" s="2" t="s">
        <v>1</v>
      </c>
      <c r="C3" s="2" t="s">
        <v>2</v>
      </c>
      <c r="D3" s="2" t="s">
        <v>3</v>
      </c>
    </row>
    <row r="4" spans="1:4" ht="17">
      <c r="A4" s="3" t="s">
        <v>4</v>
      </c>
      <c r="B4" s="4">
        <v>696948</v>
      </c>
      <c r="C4" s="5">
        <v>865.51</v>
      </c>
      <c r="D4" s="6">
        <f>B4*C4</f>
        <v>603215463.48000002</v>
      </c>
    </row>
    <row r="5" spans="1:4" ht="17">
      <c r="A5" s="3" t="s">
        <v>5</v>
      </c>
      <c r="B5" s="4">
        <v>50847</v>
      </c>
      <c r="C5" s="5">
        <v>509.81</v>
      </c>
      <c r="D5" s="6">
        <f t="shared" ref="D5:D17" si="0">B5*C5</f>
        <v>25922309.07</v>
      </c>
    </row>
    <row r="6" spans="1:4" ht="17">
      <c r="A6" s="3" t="s">
        <v>6</v>
      </c>
      <c r="B6" s="4">
        <v>13555.8</v>
      </c>
      <c r="C6" s="5">
        <v>17930.66</v>
      </c>
      <c r="D6" s="6">
        <f t="shared" si="0"/>
        <v>243064440.82799998</v>
      </c>
    </row>
    <row r="7" spans="1:4" ht="17">
      <c r="A7" s="3" t="s">
        <v>7</v>
      </c>
      <c r="B7" s="4">
        <v>4556.8</v>
      </c>
      <c r="C7" s="5">
        <v>8200</v>
      </c>
      <c r="D7" s="6">
        <f t="shared" si="0"/>
        <v>37365760</v>
      </c>
    </row>
    <row r="8" spans="1:4" ht="17">
      <c r="A8" s="3" t="s">
        <v>8</v>
      </c>
      <c r="B8" s="4">
        <v>10589.6</v>
      </c>
      <c r="C8" s="5">
        <v>3310.4</v>
      </c>
      <c r="D8" s="6">
        <f t="shared" si="0"/>
        <v>35055811.840000004</v>
      </c>
    </row>
    <row r="9" spans="1:4" ht="17">
      <c r="A9" s="3" t="s">
        <v>9</v>
      </c>
      <c r="B9" s="4">
        <v>1527.2</v>
      </c>
      <c r="C9" s="5">
        <v>6078.21</v>
      </c>
      <c r="D9" s="6">
        <f t="shared" si="0"/>
        <v>9282642.3120000008</v>
      </c>
    </row>
    <row r="10" spans="1:4" ht="17">
      <c r="A10" s="3" t="s">
        <v>10</v>
      </c>
      <c r="B10" s="4">
        <v>20281.900000000001</v>
      </c>
      <c r="C10" s="5">
        <v>2189.21</v>
      </c>
      <c r="D10" s="6">
        <f t="shared" si="0"/>
        <v>44401338.299000002</v>
      </c>
    </row>
    <row r="11" spans="1:4" ht="17">
      <c r="A11" s="3" t="s">
        <v>11</v>
      </c>
      <c r="B11" s="4">
        <v>899.1</v>
      </c>
      <c r="C11" s="5">
        <v>3182.31</v>
      </c>
      <c r="D11" s="6">
        <f t="shared" si="0"/>
        <v>2861214.9210000001</v>
      </c>
    </row>
    <row r="12" spans="1:4" ht="17">
      <c r="A12" s="3" t="s">
        <v>12</v>
      </c>
      <c r="B12" s="4">
        <v>798</v>
      </c>
      <c r="C12" s="5">
        <v>3183.72</v>
      </c>
      <c r="D12" s="6">
        <f t="shared" si="0"/>
        <v>2540608.56</v>
      </c>
    </row>
    <row r="13" spans="1:4" ht="17">
      <c r="A13" s="3" t="s">
        <v>13</v>
      </c>
      <c r="B13" s="4">
        <v>1432.2</v>
      </c>
      <c r="C13" s="5">
        <v>1460.9</v>
      </c>
      <c r="D13" s="6">
        <f t="shared" si="0"/>
        <v>2092300.9800000002</v>
      </c>
    </row>
    <row r="14" spans="1:4" ht="17">
      <c r="A14" s="3" t="s">
        <v>14</v>
      </c>
      <c r="B14" s="4">
        <v>827.1</v>
      </c>
      <c r="C14" s="5">
        <v>869.65</v>
      </c>
      <c r="D14" s="6">
        <f t="shared" si="0"/>
        <v>719287.51500000001</v>
      </c>
    </row>
    <row r="15" spans="1:4" ht="17">
      <c r="A15" s="3" t="s">
        <v>15</v>
      </c>
      <c r="B15" s="4">
        <v>682.2</v>
      </c>
      <c r="C15" s="5">
        <v>2310</v>
      </c>
      <c r="D15" s="6">
        <f t="shared" si="0"/>
        <v>1575882</v>
      </c>
    </row>
    <row r="16" spans="1:4" ht="17">
      <c r="A16" s="3" t="s">
        <v>16</v>
      </c>
      <c r="B16" s="4">
        <v>940.6</v>
      </c>
      <c r="C16" s="5">
        <v>2333.2399999999998</v>
      </c>
      <c r="D16" s="6">
        <f t="shared" si="0"/>
        <v>2194645.5439999998</v>
      </c>
    </row>
    <row r="17" spans="1:4" ht="17">
      <c r="A17" s="3" t="s">
        <v>17</v>
      </c>
      <c r="B17" s="4">
        <v>43480.2</v>
      </c>
      <c r="C17" s="5">
        <v>464.88</v>
      </c>
      <c r="D17" s="6">
        <f t="shared" si="0"/>
        <v>20213075.375999998</v>
      </c>
    </row>
    <row r="18" spans="1:4" ht="17">
      <c r="A18" s="7" t="s">
        <v>18</v>
      </c>
      <c r="B18" s="8"/>
      <c r="C18" s="8"/>
      <c r="D18" s="9">
        <f>SUM(D4:D17)</f>
        <v>1030504780.7250001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>
      <pane ySplit="4" topLeftCell="A5" activePane="bottomLeft" state="frozen"/>
      <selection pane="bottomLeft" activeCell="E16" sqref="E16"/>
    </sheetView>
  </sheetViews>
  <sheetFormatPr defaultColWidth="8.6328125" defaultRowHeight="14.5"/>
  <cols>
    <col min="1" max="1" width="18" customWidth="1"/>
    <col min="2" max="3" width="14" customWidth="1"/>
    <col min="4" max="4" width="18" customWidth="1"/>
    <col min="5" max="5" width="30" customWidth="1"/>
  </cols>
  <sheetData>
    <row r="1" spans="1:4" ht="21">
      <c r="A1" s="15" t="s">
        <v>22</v>
      </c>
    </row>
    <row r="2" spans="1:4">
      <c r="A2" s="1"/>
    </row>
    <row r="3" spans="1:4" ht="17">
      <c r="A3" s="2" t="s">
        <v>0</v>
      </c>
      <c r="B3" s="2" t="s">
        <v>1</v>
      </c>
      <c r="C3" s="2" t="s">
        <v>2</v>
      </c>
      <c r="D3" s="2" t="s">
        <v>3</v>
      </c>
    </row>
    <row r="4" spans="1:4" ht="17">
      <c r="A4" s="3" t="s">
        <v>4</v>
      </c>
      <c r="B4" s="4">
        <v>83064</v>
      </c>
      <c r="C4" s="5">
        <v>865.51</v>
      </c>
      <c r="D4" s="6">
        <f>B4*C4</f>
        <v>71892722.640000001</v>
      </c>
    </row>
    <row r="5" spans="1:4" ht="17">
      <c r="A5" s="3" t="s">
        <v>5</v>
      </c>
      <c r="B5" s="4">
        <v>5665</v>
      </c>
      <c r="C5" s="5">
        <v>509.81</v>
      </c>
      <c r="D5" s="6">
        <f t="shared" ref="D5:D17" si="0">B5*C5</f>
        <v>2888073.65</v>
      </c>
    </row>
    <row r="6" spans="1:4" ht="17">
      <c r="A6" s="3" t="s">
        <v>6</v>
      </c>
      <c r="B6" s="4">
        <v>1055.2</v>
      </c>
      <c r="C6" s="5">
        <v>17930.66</v>
      </c>
      <c r="D6" s="6">
        <f t="shared" si="0"/>
        <v>18920432.432</v>
      </c>
    </row>
    <row r="7" spans="1:4" ht="17">
      <c r="A7" s="3" t="s">
        <v>7</v>
      </c>
      <c r="B7" s="4">
        <v>1246.9000000000001</v>
      </c>
      <c r="C7" s="5">
        <v>8200</v>
      </c>
      <c r="D7" s="6">
        <f t="shared" si="0"/>
        <v>10224580</v>
      </c>
    </row>
    <row r="8" spans="1:4" ht="17">
      <c r="A8" s="3" t="s">
        <v>8</v>
      </c>
      <c r="B8" s="4">
        <v>1146.4000000000001</v>
      </c>
      <c r="C8" s="5">
        <v>3310.4</v>
      </c>
      <c r="D8" s="6">
        <f t="shared" si="0"/>
        <v>3795042.5600000005</v>
      </c>
    </row>
    <row r="9" spans="1:4" ht="17">
      <c r="A9" s="3" t="s">
        <v>9</v>
      </c>
      <c r="B9" s="4">
        <v>177.6</v>
      </c>
      <c r="C9" s="5">
        <v>6078.21</v>
      </c>
      <c r="D9" s="6">
        <f t="shared" si="0"/>
        <v>1079490.0959999999</v>
      </c>
    </row>
    <row r="10" spans="1:4" ht="17">
      <c r="A10" s="3" t="s">
        <v>10</v>
      </c>
      <c r="B10" s="4">
        <v>1722.3</v>
      </c>
      <c r="C10" s="5">
        <v>2189.21</v>
      </c>
      <c r="D10" s="6">
        <f t="shared" si="0"/>
        <v>3770476.3829999999</v>
      </c>
    </row>
    <row r="11" spans="1:4" ht="17">
      <c r="A11" s="3" t="s">
        <v>11</v>
      </c>
      <c r="B11" s="4">
        <v>107.2</v>
      </c>
      <c r="C11" s="5">
        <v>3182.31</v>
      </c>
      <c r="D11" s="6">
        <f t="shared" si="0"/>
        <v>341143.63199999998</v>
      </c>
    </row>
    <row r="12" spans="1:4" ht="17">
      <c r="A12" s="3" t="s">
        <v>12</v>
      </c>
      <c r="B12" s="4">
        <v>84</v>
      </c>
      <c r="C12" s="5">
        <v>3183.72</v>
      </c>
      <c r="D12" s="6">
        <f t="shared" si="0"/>
        <v>267432.48</v>
      </c>
    </row>
    <row r="13" spans="1:4" ht="17">
      <c r="A13" s="3" t="s">
        <v>13</v>
      </c>
      <c r="B13" s="4">
        <v>164.8</v>
      </c>
      <c r="C13" s="5">
        <v>1460.9</v>
      </c>
      <c r="D13" s="6">
        <f t="shared" si="0"/>
        <v>240756.32000000004</v>
      </c>
    </row>
    <row r="14" spans="1:4" ht="17">
      <c r="A14" s="3" t="s">
        <v>14</v>
      </c>
      <c r="B14" s="4">
        <v>221.6</v>
      </c>
      <c r="C14" s="5">
        <v>869.65</v>
      </c>
      <c r="D14" s="6">
        <f t="shared" si="0"/>
        <v>192714.44</v>
      </c>
    </row>
    <row r="15" spans="1:4" ht="17">
      <c r="A15" s="3" t="s">
        <v>15</v>
      </c>
      <c r="B15" s="4">
        <v>77.5</v>
      </c>
      <c r="C15" s="5">
        <v>2310</v>
      </c>
      <c r="D15" s="6">
        <f t="shared" si="0"/>
        <v>179025</v>
      </c>
    </row>
    <row r="16" spans="1:4" ht="17">
      <c r="A16" s="3" t="s">
        <v>16</v>
      </c>
      <c r="B16" s="4">
        <v>101.2</v>
      </c>
      <c r="C16" s="5">
        <v>2333.2399999999998</v>
      </c>
      <c r="D16" s="6">
        <f t="shared" si="0"/>
        <v>236123.88799999998</v>
      </c>
    </row>
    <row r="17" spans="1:4" ht="17">
      <c r="A17" s="3" t="s">
        <v>17</v>
      </c>
      <c r="B17" s="4">
        <v>4687.2</v>
      </c>
      <c r="C17" s="5">
        <v>464.88</v>
      </c>
      <c r="D17" s="6">
        <f t="shared" si="0"/>
        <v>2178985.5359999998</v>
      </c>
    </row>
    <row r="18" spans="1:4" ht="17">
      <c r="A18" s="7" t="s">
        <v>18</v>
      </c>
      <c r="B18" s="8"/>
      <c r="C18" s="8"/>
      <c r="D18" s="9">
        <f>SUM(D4:D17)</f>
        <v>116206999.057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zoomScaleNormal="100" workbookViewId="0">
      <pane ySplit="4" topLeftCell="A5" activePane="bottomLeft" state="frozen"/>
      <selection pane="bottomLeft" activeCell="E7" sqref="E7"/>
    </sheetView>
  </sheetViews>
  <sheetFormatPr defaultColWidth="8.6328125" defaultRowHeight="14.5"/>
  <cols>
    <col min="1" max="1" width="18" customWidth="1"/>
    <col min="2" max="3" width="14" customWidth="1"/>
    <col min="4" max="4" width="18" customWidth="1"/>
    <col min="5" max="5" width="30" customWidth="1"/>
  </cols>
  <sheetData>
    <row r="1" spans="1:5" ht="21">
      <c r="A1" s="15" t="s">
        <v>23</v>
      </c>
    </row>
    <row r="2" spans="1:5">
      <c r="A2" s="16"/>
    </row>
    <row r="3" spans="1:5" ht="17">
      <c r="A3" s="2" t="s">
        <v>0</v>
      </c>
      <c r="B3" s="2" t="s">
        <v>1</v>
      </c>
      <c r="C3" s="2" t="s">
        <v>2</v>
      </c>
      <c r="D3" s="2" t="s">
        <v>3</v>
      </c>
    </row>
    <row r="4" spans="1:5" ht="17">
      <c r="A4" s="3" t="s">
        <v>4</v>
      </c>
      <c r="B4" s="10">
        <v>83064</v>
      </c>
      <c r="C4" s="11">
        <v>865.51</v>
      </c>
      <c r="D4" s="12">
        <f>B4+C4</f>
        <v>83929.51</v>
      </c>
      <c r="E4" s="1" t="s">
        <v>24</v>
      </c>
    </row>
    <row r="5" spans="1:5" ht="17">
      <c r="A5" s="3" t="s">
        <v>5</v>
      </c>
      <c r="B5" s="4"/>
      <c r="C5" s="5"/>
      <c r="D5" s="12">
        <f t="shared" ref="D5:D21" si="0">B5+C5</f>
        <v>0</v>
      </c>
    </row>
    <row r="6" spans="1:5" ht="17">
      <c r="A6" s="3" t="s">
        <v>6</v>
      </c>
      <c r="B6" s="4"/>
      <c r="C6" s="5"/>
      <c r="D6" s="12">
        <f t="shared" si="0"/>
        <v>0</v>
      </c>
    </row>
    <row r="7" spans="1:5" ht="17">
      <c r="A7" s="3" t="s">
        <v>7</v>
      </c>
      <c r="B7" s="4"/>
      <c r="C7" s="5"/>
      <c r="D7" s="12">
        <f t="shared" si="0"/>
        <v>0</v>
      </c>
    </row>
    <row r="8" spans="1:5" ht="17">
      <c r="A8" s="3" t="s">
        <v>8</v>
      </c>
      <c r="B8" s="4"/>
      <c r="C8" s="5"/>
      <c r="D8" s="12">
        <f t="shared" si="0"/>
        <v>0</v>
      </c>
    </row>
    <row r="9" spans="1:5" ht="17">
      <c r="A9" s="3" t="s">
        <v>9</v>
      </c>
      <c r="B9" s="4"/>
      <c r="C9" s="5"/>
      <c r="D9" s="12">
        <f t="shared" si="0"/>
        <v>0</v>
      </c>
    </row>
    <row r="10" spans="1:5" ht="17">
      <c r="A10" s="3" t="s">
        <v>10</v>
      </c>
      <c r="B10" s="4"/>
      <c r="C10" s="5"/>
      <c r="D10" s="12">
        <f t="shared" si="0"/>
        <v>0</v>
      </c>
    </row>
    <row r="11" spans="1:5" ht="17">
      <c r="A11" s="3" t="s">
        <v>11</v>
      </c>
      <c r="B11" s="4"/>
      <c r="C11" s="5"/>
      <c r="D11" s="12">
        <f t="shared" si="0"/>
        <v>0</v>
      </c>
    </row>
    <row r="12" spans="1:5" ht="17">
      <c r="A12" s="3" t="s">
        <v>12</v>
      </c>
      <c r="B12" s="4"/>
      <c r="C12" s="5"/>
      <c r="D12" s="12">
        <f t="shared" si="0"/>
        <v>0</v>
      </c>
    </row>
    <row r="13" spans="1:5" ht="17">
      <c r="A13" s="3" t="s">
        <v>13</v>
      </c>
      <c r="B13" s="4"/>
      <c r="C13" s="5"/>
      <c r="D13" s="12">
        <f t="shared" si="0"/>
        <v>0</v>
      </c>
    </row>
    <row r="14" spans="1:5" ht="17">
      <c r="A14" s="3" t="s">
        <v>14</v>
      </c>
      <c r="B14" s="4"/>
      <c r="C14" s="5"/>
      <c r="D14" s="12">
        <f t="shared" si="0"/>
        <v>0</v>
      </c>
    </row>
    <row r="15" spans="1:5" ht="17">
      <c r="A15" s="3" t="s">
        <v>15</v>
      </c>
      <c r="B15" s="4"/>
      <c r="C15" s="5"/>
      <c r="D15" s="12">
        <f t="shared" si="0"/>
        <v>0</v>
      </c>
    </row>
    <row r="16" spans="1:5" ht="17">
      <c r="A16" s="3" t="s">
        <v>16</v>
      </c>
      <c r="B16" s="4"/>
      <c r="C16" s="5"/>
      <c r="D16" s="12">
        <f t="shared" si="0"/>
        <v>0</v>
      </c>
    </row>
    <row r="17" spans="1:4" ht="17">
      <c r="A17" s="3" t="s">
        <v>17</v>
      </c>
      <c r="B17" s="4"/>
      <c r="C17" s="5"/>
      <c r="D17" s="12">
        <f t="shared" si="0"/>
        <v>0</v>
      </c>
    </row>
    <row r="18" spans="1:4" ht="17">
      <c r="A18" s="13" t="s">
        <v>19</v>
      </c>
      <c r="B18" s="4"/>
      <c r="C18" s="5"/>
      <c r="D18" s="12">
        <f t="shared" si="0"/>
        <v>0</v>
      </c>
    </row>
    <row r="19" spans="1:4" ht="17">
      <c r="A19" s="13" t="s">
        <v>19</v>
      </c>
      <c r="B19" s="4"/>
      <c r="C19" s="5"/>
      <c r="D19" s="12">
        <f t="shared" si="0"/>
        <v>0</v>
      </c>
    </row>
    <row r="20" spans="1:4" ht="17">
      <c r="A20" s="13" t="s">
        <v>19</v>
      </c>
      <c r="B20" s="4"/>
      <c r="C20" s="5"/>
      <c r="D20" s="12">
        <f t="shared" si="0"/>
        <v>0</v>
      </c>
    </row>
    <row r="21" spans="1:4" ht="17">
      <c r="A21" s="13" t="s">
        <v>19</v>
      </c>
      <c r="B21" s="4"/>
      <c r="C21" s="5"/>
      <c r="D21" s="12">
        <f t="shared" si="0"/>
        <v>0</v>
      </c>
    </row>
    <row r="22" spans="1:4" ht="17">
      <c r="A22" s="7" t="s">
        <v>18</v>
      </c>
      <c r="B22" s="8"/>
      <c r="C22" s="8"/>
      <c r="D22" s="9">
        <f>SUM(D3:D21)</f>
        <v>83929.51</v>
      </c>
    </row>
    <row r="25" spans="1:4" ht="15">
      <c r="A25" s="1" t="s">
        <v>20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포기김치</vt:lpstr>
      <vt:lpstr>맛김치</vt:lpstr>
      <vt:lpstr>업로드_템플릿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시온 성</cp:lastModifiedBy>
  <cp:revision>0</cp:revision>
  <dcterms:created xsi:type="dcterms:W3CDTF">2026-08-09T08:10:03Z</dcterms:created>
  <dcterms:modified xsi:type="dcterms:W3CDTF">2026-08-10T10:59:34Z</dcterms:modified>
  <dc:language>en-US</dc:language>
</cp:coreProperties>
</file>